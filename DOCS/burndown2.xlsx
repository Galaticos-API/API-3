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FATEC\sem3\API-3\DOCS\"/>
    </mc:Choice>
  </mc:AlternateContent>
  <xr:revisionPtr revIDLastSave="0" documentId="13_ncr:1_{6C551592-F7AB-4014-B7B3-4B725F3D6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10" i="1"/>
  <c r="W2" i="1"/>
  <c r="W3" i="1"/>
  <c r="W4" i="1"/>
  <c r="W5" i="1"/>
  <c r="W6" i="1"/>
  <c r="W7" i="1"/>
  <c r="W8" i="1"/>
  <c r="W11" i="1"/>
  <c r="W12" i="1"/>
  <c r="W13" i="1"/>
  <c r="W14" i="1"/>
  <c r="W15" i="1"/>
  <c r="B16" i="1"/>
  <c r="C16" i="1" s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B17" i="1"/>
  <c r="D17" i="1" s="1"/>
  <c r="K17" i="1" l="1"/>
  <c r="J17" i="1"/>
  <c r="M17" i="1"/>
  <c r="L17" i="1"/>
  <c r="R17" i="1"/>
  <c r="I17" i="1"/>
  <c r="O17" i="1"/>
  <c r="T17" i="1"/>
  <c r="C17" i="1"/>
  <c r="F17" i="1"/>
  <c r="P17" i="1"/>
  <c r="H17" i="1"/>
  <c r="E17" i="1"/>
  <c r="S17" i="1"/>
  <c r="Q17" i="1"/>
  <c r="N17" i="1"/>
  <c r="G17" i="1"/>
  <c r="V17" i="1"/>
  <c r="U17" i="1"/>
</calcChain>
</file>

<file path=xl/sharedStrings.xml><?xml version="1.0" encoding="utf-8"?>
<sst xmlns="http://schemas.openxmlformats.org/spreadsheetml/2006/main" count="33" uniqueCount="33">
  <si>
    <t>Total de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</si>
  <si>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</si>
  <si>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</si>
  <si>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</si>
  <si>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</si>
  <si>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</si>
  <si>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</si>
  <si>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</si>
  <si>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</si>
  <si>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</si>
  <si>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</si>
  <si>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</si>
  <si>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</si>
  <si>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</si>
  <si>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</si>
  <si>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</si>
  <si>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</si>
  <si>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</si>
  <si>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</si>
  <si>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</si>
  <si>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</si>
  <si>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Restante</t>
  </si>
  <si>
    <t>Estimado</t>
  </si>
  <si>
    <t>Tasks</t>
  </si>
  <si>
    <t>Horas pendentes</t>
  </si>
  <si>
    <t>T-15</t>
  </si>
  <si>
    <t>T-16</t>
  </si>
  <si>
    <t>T-17</t>
  </si>
  <si>
    <t>T-18</t>
  </si>
  <si>
    <t>T-19</t>
  </si>
  <si>
    <t>T-20</t>
  </si>
  <si>
    <t>T-21</t>
  </si>
  <si>
    <t>T-22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</si>
</sst>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58</c:v>
                </c:pt>
                <c:pt idx="1">
                  <c:v>54</c:v>
                </c:pt>
                <c:pt idx="2">
                  <c:v>48</c:v>
                </c:pt>
                <c:pt idx="3">
                  <c:v>45.5</c:v>
                </c:pt>
                <c:pt idx="4">
                  <c:v>45.5</c:v>
                </c:pt>
                <c:pt idx="5">
                  <c:v>44.5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40.5</c:v>
                </c:pt>
                <c:pt idx="11">
                  <c:v>40.5</c:v>
                </c:pt>
                <c:pt idx="12">
                  <c:v>40.5</c:v>
                </c:pt>
                <c:pt idx="13">
                  <c:v>40.5</c:v>
                </c:pt>
                <c:pt idx="14">
                  <c:v>40.5</c:v>
                </c:pt>
                <c:pt idx="15">
                  <c:v>40.5</c:v>
                </c:pt>
                <c:pt idx="16">
                  <c:v>40.5</c:v>
                </c:pt>
                <c:pt idx="17">
                  <c:v>40.5</c:v>
                </c:pt>
                <c:pt idx="18">
                  <c:v>40.5</c:v>
                </c:pt>
                <c:pt idx="19">
                  <c:v>40.5</c:v>
                </c:pt>
                <c:pt idx="20">
                  <c:v>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E5-49E7-B31D-CE7A4C89842A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58</c:v>
                </c:pt>
                <c:pt idx="1">
                  <c:v>55.1</c:v>
                </c:pt>
                <c:pt idx="2">
                  <c:v>52.2</c:v>
                </c:pt>
                <c:pt idx="3">
                  <c:v>49.3</c:v>
                </c:pt>
                <c:pt idx="4">
                  <c:v>46.4</c:v>
                </c:pt>
                <c:pt idx="5">
                  <c:v>43.5</c:v>
                </c:pt>
                <c:pt idx="6">
                  <c:v>40.6</c:v>
                </c:pt>
                <c:pt idx="7">
                  <c:v>37.700000000000003</c:v>
                </c:pt>
                <c:pt idx="8">
                  <c:v>34.799999999999997</c:v>
                </c:pt>
                <c:pt idx="9">
                  <c:v>31.900000000000002</c:v>
                </c:pt>
                <c:pt idx="10">
                  <c:v>29</c:v>
                </c:pt>
                <c:pt idx="11">
                  <c:v>26.1</c:v>
                </c:pt>
                <c:pt idx="12">
                  <c:v>23.200000000000003</c:v>
                </c:pt>
                <c:pt idx="13">
                  <c:v>20.300000000000004</c:v>
                </c:pt>
                <c:pt idx="14">
                  <c:v>17.399999999999999</c:v>
                </c:pt>
                <c:pt idx="15">
                  <c:v>14.5</c:v>
                </c:pt>
                <c:pt idx="16">
                  <c:v>11.600000000000001</c:v>
                </c:pt>
                <c:pt idx="17">
                  <c:v>8.7000000000000028</c:v>
                </c:pt>
                <c:pt idx="18">
                  <c:v>5.8000000000000043</c:v>
                </c:pt>
                <c:pt idx="19">
                  <c:v>2.8999999999999986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E5-49E7-B31D-CE7A4C89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58</c:v>
                </c:pt>
                <c:pt idx="1">
                  <c:v>54</c:v>
                </c:pt>
                <c:pt idx="2">
                  <c:v>48</c:v>
                </c:pt>
                <c:pt idx="3">
                  <c:v>45.5</c:v>
                </c:pt>
                <c:pt idx="4">
                  <c:v>45.5</c:v>
                </c:pt>
                <c:pt idx="5">
                  <c:v>44.5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40.5</c:v>
                </c:pt>
                <c:pt idx="11">
                  <c:v>40.5</c:v>
                </c:pt>
                <c:pt idx="12">
                  <c:v>40.5</c:v>
                </c:pt>
                <c:pt idx="13">
                  <c:v>40.5</c:v>
                </c:pt>
                <c:pt idx="14">
                  <c:v>40.5</c:v>
                </c:pt>
                <c:pt idx="15">
                  <c:v>40.5</c:v>
                </c:pt>
                <c:pt idx="16">
                  <c:v>40.5</c:v>
                </c:pt>
                <c:pt idx="17">
                  <c:v>40.5</c:v>
                </c:pt>
                <c:pt idx="18">
                  <c:v>40.5</c:v>
                </c:pt>
                <c:pt idx="19">
                  <c:v>40.5</c:v>
                </c:pt>
                <c:pt idx="20">
                  <c:v>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AE-44C0-9D20-ACFA05CAA252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58</c:v>
                </c:pt>
                <c:pt idx="1">
                  <c:v>55.1</c:v>
                </c:pt>
                <c:pt idx="2">
                  <c:v>52.2</c:v>
                </c:pt>
                <c:pt idx="3">
                  <c:v>49.3</c:v>
                </c:pt>
                <c:pt idx="4">
                  <c:v>46.4</c:v>
                </c:pt>
                <c:pt idx="5">
                  <c:v>43.5</c:v>
                </c:pt>
                <c:pt idx="6">
                  <c:v>40.6</c:v>
                </c:pt>
                <c:pt idx="7">
                  <c:v>37.700000000000003</c:v>
                </c:pt>
                <c:pt idx="8">
                  <c:v>34.799999999999997</c:v>
                </c:pt>
                <c:pt idx="9">
                  <c:v>31.900000000000002</c:v>
                </c:pt>
                <c:pt idx="10">
                  <c:v>29</c:v>
                </c:pt>
                <c:pt idx="11">
                  <c:v>26.1</c:v>
                </c:pt>
                <c:pt idx="12">
                  <c:v>23.200000000000003</c:v>
                </c:pt>
                <c:pt idx="13">
                  <c:v>20.300000000000004</c:v>
                </c:pt>
                <c:pt idx="14">
                  <c:v>17.399999999999999</c:v>
                </c:pt>
                <c:pt idx="15">
                  <c:v>14.5</c:v>
                </c:pt>
                <c:pt idx="16">
                  <c:v>11.600000000000001</c:v>
                </c:pt>
                <c:pt idx="17">
                  <c:v>8.7000000000000028</c:v>
                </c:pt>
                <c:pt idx="18">
                  <c:v>5.8000000000000043</c:v>
                </c:pt>
                <c:pt idx="19">
                  <c:v>2.8999999999999986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AE-44C0-9D20-ACFA05C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357867</xdr:colOff>
      <xdr:row>25</xdr:row>
      <xdr:rowOff>144915</xdr:rowOff>
    </xdr:from>
    <xdr:ext cx="6191250" cy="36385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133351</xdr:rowOff>
    </xdr:from>
    <xdr:ext cx="14430375" cy="582929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E86CFF-85C4-4865-AED4-CCDE7758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84C1C-B0F0-42C1-9734-A26A7C746AC5}" name="Tabela2" displayName="Tabela2" ref="A1:W15" totalsRowShown="0" headerRowDxfId="24" dataDxfId="23">
  <autoFilter ref="A1:W15" xr:uid="{E1884C1C-B0F0-42C1-9734-A26A7C746AC5}"/>
  <tableColumns count="23">
    <tableColumn id="1" xr3:uid="{DC2BAE98-3A26-4BC7-8ED6-C3303DF0038D}" name="Tasks" dataDxfId="22"/>
    <tableColumn id="2" xr3:uid="{1A2025CD-23B1-415B-92B3-5881DCA18C20}" name="Total de horas" dataDxfId="21"/>
    <tableColumn id="3" xr3:uid="{4BC0BD76-7741-45BB-97A7-D6882CC1F1D8}" name="Dia 1" dataDxfId="20"/>
    <tableColumn id="4" xr3:uid="{00882AA1-DD73-47DC-8C10-EF217AC99768}" name="Dia 2" dataDxfId="19"/>
    <tableColumn id="5" xr3:uid="{26CA22D1-FC01-468E-9640-E8C45E991335}" name="Dia 3" dataDxfId="18"/>
    <tableColumn id="6" xr3:uid="{8637A8CA-1019-4007-B1C8-E2B239B9DDE1}" name="Dia 4" dataDxfId="17"/>
    <tableColumn id="7" xr3:uid="{A817E580-DFE5-4C0E-95B3-BA357CCF9AE1}" name="Dia 5" dataDxfId="16"/>
    <tableColumn id="8" xr3:uid="{D4E45274-3E12-45D7-8440-09BF785A95E4}" name="Dia 6" dataDxfId="15"/>
    <tableColumn id="9" xr3:uid="{731C7356-2D40-41A5-B847-23C816E5BAD2}" name="Dia 7" dataDxfId="14"/>
    <tableColumn id="10" xr3:uid="{824F84C5-6311-4AAA-96D8-D8FD71FBBAF6}" name="Dia 8" dataDxfId="13"/>
    <tableColumn id="11" xr3:uid="{A41E8023-6BEE-4187-9A47-DA4E41991646}" name="Dia 9" dataDxfId="12"/>
    <tableColumn id="12" xr3:uid="{FCCE3901-00D6-4E75-A167-FD4C20E71CF2}" name="Dia 10" dataDxfId="11"/>
    <tableColumn id="13" xr3:uid="{E9D6ACAB-EF0B-42EB-977B-E157431B7C93}" name="Dia 11" dataDxfId="10"/>
    <tableColumn id="14" xr3:uid="{7DE82C8F-4251-435F-8119-4098379E7C92}" name="Dia 12" dataDxfId="9"/>
    <tableColumn id="15" xr3:uid="{C0057573-93FA-4291-8B0E-84DA468004AA}" name="Dia 13" dataDxfId="8"/>
    <tableColumn id="16" xr3:uid="{616A7614-87CD-480E-8FB6-B3E991E2E773}" name="Dia 14" dataDxfId="7"/>
    <tableColumn id="17" xr3:uid="{1EA39BE6-7D7D-43AD-8119-68FE10A2BB9C}" name="Dia 15" dataDxfId="6"/>
    <tableColumn id="18" xr3:uid="{EF7A01F8-F878-4FFE-B140-126C702615BE}" name="Dia 16" dataDxfId="5"/>
    <tableColumn id="19" xr3:uid="{9701BAD2-120F-49E8-9004-331E6F9C2716}" name="Dia 17" dataDxfId="4"/>
    <tableColumn id="20" xr3:uid="{72A17F3E-6229-46C9-8FEE-BDF8B519F9FD}" name="Dia 18" dataDxfId="3"/>
    <tableColumn id="21" xr3:uid="{1C3259A9-A4D5-488F-BE54-1D541CFA2C96}" name="Dia 19" dataDxfId="2"/>
    <tableColumn id="22" xr3:uid="{4411E0A4-16AB-46BD-886B-34DA12503542}" name="Dia 20" dataDxfId="1"/>
    <tableColumn id="23" xr3:uid="{4E8193E4-CA8B-435A-8A9E-B0AEB98006F5}" name="Horas pendentes" dataDxfId="0">
      <calculatedColumnFormula>Tabela2[[#This Row],[Total de horas]]-SUM(Tabela2[[#This Row],[Dia 1]:[Dia 20]])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81" zoomScaleNormal="81" workbookViewId="0">
      <selection activeCell="D9" sqref="D9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5" width="9.85546875" bestFit="1" customWidth="1"/>
    <col min="7" max="11" width="9.85546875" bestFit="1" customWidth="1"/>
    <col min="12" max="21" width="10.85546875" bestFit="1" customWidth="1"/>
    <col min="23" max="23" width="19.7109375" bestFit="1" customWidth="1"/>
  </cols>
  <sheetData>
    <row r="1" spans="1:23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24</v>
      </c>
    </row>
    <row r="2" spans="1:23" x14ac:dyDescent="0.25">
      <c r="A2" s="2" t="s">
        <v>25</v>
      </c>
      <c r="B2" s="1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f>Tabela2[[#This Row],[Total de horas]]-SUM(Tabela2[[#This Row],[Dia 1]:[Dia 20]])</f>
        <v>2</v>
      </c>
    </row>
    <row r="3" spans="1:23" x14ac:dyDescent="0.25">
      <c r="A3" s="2" t="s">
        <v>26</v>
      </c>
      <c r="B3" s="1">
        <v>3</v>
      </c>
      <c r="C3" s="1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f>Tabela2[[#This Row],[Total de horas]]-SUM(Tabela2[[#This Row],[Dia 1]:[Dia 20]])</f>
        <v>0</v>
      </c>
    </row>
    <row r="4" spans="1:23" x14ac:dyDescent="0.25">
      <c r="A4" s="2" t="s">
        <v>27</v>
      </c>
      <c r="B4" s="1">
        <v>10</v>
      </c>
      <c r="C4" s="1"/>
      <c r="D4" s="1"/>
      <c r="E4" s="1"/>
      <c r="F4" s="1"/>
      <c r="G4" s="1"/>
      <c r="H4" s="1">
        <v>1</v>
      </c>
      <c r="I4" s="1"/>
      <c r="J4" s="1"/>
      <c r="K4" s="1"/>
      <c r="L4" s="1">
        <v>3</v>
      </c>
      <c r="M4" s="1"/>
      <c r="N4" s="1"/>
      <c r="O4" s="1"/>
      <c r="P4" s="1"/>
      <c r="Q4" s="1"/>
      <c r="R4" s="1"/>
      <c r="S4" s="1"/>
      <c r="T4" s="1"/>
      <c r="U4" s="1"/>
      <c r="V4" s="1"/>
      <c r="W4" s="1">
        <f>Tabela2[[#This Row],[Total de horas]]-SUM(Tabela2[[#This Row],[Dia 1]:[Dia 20]])</f>
        <v>6</v>
      </c>
    </row>
    <row r="5" spans="1:23" x14ac:dyDescent="0.25">
      <c r="A5" s="2" t="s">
        <v>28</v>
      </c>
      <c r="B5" s="1">
        <v>8</v>
      </c>
      <c r="C5" s="1"/>
      <c r="D5" s="1">
        <v>5</v>
      </c>
      <c r="E5" s="1"/>
      <c r="F5" s="1"/>
      <c r="G5" s="1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f>Tabela2[[#This Row],[Total de horas]]-SUM(Tabela2[[#This Row],[Dia 1]:[Dia 20]])</f>
        <v>2</v>
      </c>
    </row>
    <row r="6" spans="1:23" x14ac:dyDescent="0.25">
      <c r="A6" s="2" t="s">
        <v>29</v>
      </c>
      <c r="B6" s="1">
        <v>12</v>
      </c>
      <c r="C6" s="1"/>
      <c r="D6" s="1"/>
      <c r="E6" s="1">
        <v>2.5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f>Tabela2[[#This Row],[Total de horas]]-SUM(Tabela2[[#This Row],[Dia 1]:[Dia 20]])</f>
        <v>9.5</v>
      </c>
    </row>
    <row r="7" spans="1:23" x14ac:dyDescent="0.25">
      <c r="A7" s="2" t="s">
        <v>30</v>
      </c>
      <c r="B7" s="1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f>Tabela2[[#This Row],[Total de horas]]-SUM(Tabela2[[#This Row],[Dia 1]:[Dia 20]])</f>
        <v>5</v>
      </c>
    </row>
    <row r="8" spans="1:23" x14ac:dyDescent="0.25">
      <c r="A8" s="2" t="s">
        <v>31</v>
      </c>
      <c r="B8" s="1">
        <v>8</v>
      </c>
      <c r="C8" s="1">
        <v>1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f>Tabela2[[#This Row],[Total de horas]]-SUM(Tabela2[[#This Row],[Dia 1]:[Dia 20]])</f>
        <v>6</v>
      </c>
    </row>
    <row r="9" spans="1:23" x14ac:dyDescent="0.25">
      <c r="A9" s="2" t="s">
        <v>32</v>
      </c>
      <c r="B9" s="1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f>Tabela2[[#This Row],[Total de horas]]-SUM(Tabela2[[#This Row],[Dia 1]:[Dia 20]])</f>
        <v>10</v>
      </c>
    </row>
    <row r="10" spans="1:23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f>Tabela2[[#This Row],[Total de horas]]-SUM(Tabela2[[#This Row],[Dia 1]:[Dia 20]])</f>
        <v>0</v>
      </c>
    </row>
    <row r="11" spans="1:23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f>Tabela2[[#This Row],[Total de horas]]-SUM(Tabela2[[#This Row],[Dia 1]:[Dia 20]])</f>
        <v>0</v>
      </c>
    </row>
    <row r="12" spans="1:23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f>Tabela2[[#This Row],[Total de horas]]-SUM(Tabela2[[#This Row],[Dia 1]:[Dia 20]])</f>
        <v>0</v>
      </c>
    </row>
    <row r="13" spans="1:23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f>Tabela2[[#This Row],[Total de horas]]-SUM(Tabela2[[#This Row],[Dia 1]:[Dia 20]])</f>
        <v>0</v>
      </c>
    </row>
    <row r="14" spans="1:23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f>Tabela2[[#This Row],[Total de horas]]-SUM(Tabela2[[#This Row],[Dia 1]:[Dia 20]])</f>
        <v>0</v>
      </c>
    </row>
    <row r="15" spans="1:23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f>Tabela2[[#This Row],[Total de horas]]-SUM(Tabela2[[#This Row],[Dia 1]:[Dia 20]])</f>
        <v>0</v>
      </c>
    </row>
    <row r="16" spans="1:23" x14ac:dyDescent="0.25">
      <c r="A16" s="4" t="s">
        <v>21</v>
      </c>
      <c r="B16" s="9">
        <f>SUM(B2:B15)</f>
        <v>58</v>
      </c>
      <c r="C16" s="6">
        <f>B16-SUM(C2:C15)</f>
        <v>54</v>
      </c>
      <c r="D16" s="6">
        <f>C16-SUM(D2:D15)</f>
        <v>48</v>
      </c>
      <c r="E16" s="6">
        <f>D16-SUM(E2:E15)</f>
        <v>45.5</v>
      </c>
      <c r="F16" s="6">
        <f>E16-SUM(F2:F15)</f>
        <v>45.5</v>
      </c>
      <c r="G16" s="6">
        <f>F16-SUM(G2:G15)</f>
        <v>44.5</v>
      </c>
      <c r="H16" s="6">
        <f>G16-SUM(H2:H15)</f>
        <v>43.5</v>
      </c>
      <c r="I16" s="9">
        <f>H16-SUM(I2:I15)</f>
        <v>43.5</v>
      </c>
      <c r="J16" s="6">
        <f>I16-SUM(J2:J15)</f>
        <v>43.5</v>
      </c>
      <c r="K16" s="6">
        <f>J16-SUM(K2:K15)</f>
        <v>43.5</v>
      </c>
      <c r="L16" s="9">
        <f>K16-SUM(L2:L15)</f>
        <v>40.5</v>
      </c>
      <c r="M16" s="6">
        <f>L16-SUM(M2:M15)</f>
        <v>40.5</v>
      </c>
      <c r="N16" s="6">
        <f>M16-SUM(N2:N15)</f>
        <v>40.5</v>
      </c>
      <c r="O16" s="6">
        <f>N16-SUM(O2:O15)</f>
        <v>40.5</v>
      </c>
      <c r="P16" s="6">
        <f>O16-SUM(P2:P15)</f>
        <v>40.5</v>
      </c>
      <c r="Q16" s="6">
        <f>P16-SUM(Q2:Q15)</f>
        <v>40.5</v>
      </c>
      <c r="R16" s="6">
        <f>Q16-SUM(R2:R15)</f>
        <v>40.5</v>
      </c>
      <c r="S16" s="6">
        <f>R16-SUM(S2:S15)</f>
        <v>40.5</v>
      </c>
      <c r="T16" s="6">
        <f>S16-SUM(T2:T15)</f>
        <v>40.5</v>
      </c>
      <c r="U16" s="6">
        <f>T16-SUM(U2:U15)</f>
        <v>40.5</v>
      </c>
      <c r="V16" s="6">
        <f>U16-SUM(V2:V15)</f>
        <v>40.5</v>
      </c>
      <c r="W16" s="1"/>
    </row>
    <row r="17" spans="1:23" x14ac:dyDescent="0.25">
      <c r="A17" s="5" t="s">
        <v>22</v>
      </c>
      <c r="B17" s="8">
        <f>SUM(B2:B15)</f>
        <v>58</v>
      </c>
      <c r="C17" s="7">
        <f>$B$17-(($B$17/20)*(COLUMN()-2))</f>
        <v>55.1</v>
      </c>
      <c r="D17" s="7">
        <f>$B$17-(($B$17/20)*(COLUMN()-2))</f>
        <v>52.2</v>
      </c>
      <c r="E17" s="7">
        <f>$B$17-(($B$17/20)*(COLUMN()-2))</f>
        <v>49.3</v>
      </c>
      <c r="F17" s="7">
        <f>$B$17-(($B$17/20)*(COLUMN()-2))</f>
        <v>46.4</v>
      </c>
      <c r="G17" s="7">
        <f>$B$17-(($B$17/20)*(COLUMN()-2))</f>
        <v>43.5</v>
      </c>
      <c r="H17" s="7">
        <f>$B$17-(($B$17/20)*(COLUMN()-2))</f>
        <v>40.6</v>
      </c>
      <c r="I17" s="7">
        <f>$B$17-(($B$17/20)*(COLUMN()-2))</f>
        <v>37.700000000000003</v>
      </c>
      <c r="J17" s="7">
        <f>$B$17-(($B$17/20)*(COLUMN()-2))</f>
        <v>34.799999999999997</v>
      </c>
      <c r="K17" s="7">
        <f>$B$17-(($B$17/20)*(COLUMN()-2))</f>
        <v>31.900000000000002</v>
      </c>
      <c r="L17" s="7">
        <f>$B$17-(($B$17/20)*(COLUMN()-2))</f>
        <v>29</v>
      </c>
      <c r="M17" s="7">
        <f>$B$17-(($B$17/20)*(COLUMN()-2))</f>
        <v>26.1</v>
      </c>
      <c r="N17" s="7">
        <f>$B$17-(($B$17/20)*(COLUMN()-2))</f>
        <v>23.200000000000003</v>
      </c>
      <c r="O17" s="7">
        <f>$B$17-(($B$17/20)*(COLUMN()-2))</f>
        <v>20.300000000000004</v>
      </c>
      <c r="P17" s="7">
        <f>$B$17-(($B$17/20)*(COLUMN()-2))</f>
        <v>17.399999999999999</v>
      </c>
      <c r="Q17" s="7">
        <f>$B$17-(($B$17/20)*(COLUMN()-2))</f>
        <v>14.5</v>
      </c>
      <c r="R17" s="7">
        <f>$B$17-(($B$17/20)*(COLUMN()-2))</f>
        <v>11.600000000000001</v>
      </c>
      <c r="S17" s="7">
        <f>$B$17-(($B$17/20)*(COLUMN()-2))</f>
        <v>8.7000000000000028</v>
      </c>
      <c r="T17" s="7">
        <f>$B$17-(($B$17/20)*(COLUMN()-2))</f>
        <v>5.8000000000000043</v>
      </c>
      <c r="U17" s="7">
        <f>$B$17-(($B$17/20)*(COLUMN()-2))</f>
        <v>2.8999999999999986</v>
      </c>
      <c r="V17" s="7">
        <f>$B$17-(($B$17/20)*(COLUMN()-2))</f>
        <v>0</v>
      </c>
      <c r="W17" s="1"/>
    </row>
  </sheetData>
  <phoneticPr fontId="2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5D5-9845-4510-B31C-B45C1A0563CA}">
  <dimension ref="A1"/>
  <sheetViews>
    <sheetView zoomScale="55" zoomScaleNormal="55" workbookViewId="0">
      <selection activeCell="U35" sqref="U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Burn1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Giordano Matesco</cp:lastModifiedBy>
  <dcterms:created xsi:type="dcterms:W3CDTF">2025-09-04T22:02:27Z</dcterms:created>
  <dcterms:modified xsi:type="dcterms:W3CDTF">2026-04-24T12:00:06Z</dcterms:modified>
</cp:coreProperties>
</file>